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96"/>
  </bookViews>
  <sheets>
    <sheet name="Captura" sheetId="1" r:id="rId1"/>
    <sheet name="Listados" sheetId="5" r:id="rId2"/>
    <sheet name="N" sheetId="3" r:id="rId3"/>
    <sheet name="S" sheetId="4" r:id="rId4"/>
    <sheet name="FILTRO2N" sheetId="2" r:id="rId5"/>
  </sheets>
  <definedNames>
    <definedName name="_xlnm._FilterDatabase" localSheetId="0" hidden="1">S!$A$3:$D$9</definedName>
    <definedName name="_xlnm._FilterDatabase" localSheetId="4" hidden="1">FILTRO2N!$I$19:$I$21</definedName>
    <definedName name="_xlnm._FilterDatabase" localSheetId="2" hidden="1">N!$A$3:$A$13</definedName>
    <definedName name="_xlnm._FilterDatabase" localSheetId="3" hidden="1">S!$A$3:$A$9</definedName>
    <definedName name="CATALOGO_N">N!$A$3:$C$13</definedName>
    <definedName name="CATALOGO_S">S!$A$3:$D$9</definedName>
    <definedName name="CONTEO_NIVEL_1" localSheetId="4">FILTRO2N!$D$17</definedName>
    <definedName name="CONTEO_NIVEL_2" localSheetId="4">FILTRO2N!$F$17</definedName>
    <definedName name="DESTINO_NIVEL_1" localSheetId="4">FILTRO2N!$D$19</definedName>
    <definedName name="DESTINO_NIVEL_2" localSheetId="4">FILTRO2N!$H$19</definedName>
    <definedName name="_xlnm.Extract" localSheetId="4">FILTRO2N!$D$19</definedName>
    <definedName name="FILTRO_NIVEL_2" localSheetId="4">FILTRO2N!$H$16:$H$17</definedName>
    <definedName name="i.Campo_Nivel_1" localSheetId="4">FILTRO2N!$B$6</definedName>
    <definedName name="i.Campo_Nivel_2" localSheetId="4">FILTRO2N!$B$7</definedName>
    <definedName name="i.Nivel_1" localSheetId="4">FILTRO2N!$B$8</definedName>
    <definedName name="i.Ubicación" localSheetId="4">FILTRO2N!$B$5</definedName>
    <definedName name="INPUT_CELLS">Captura!$B$3,Captura!$B$5,Captura!$B$7</definedName>
    <definedName name="Listado" localSheetId="0">Captura!$D$3:$G$4</definedName>
    <definedName name="Listado" localSheetId="1">Captura!$D$3:$G$4</definedName>
    <definedName name="Listado.Campo_Auto">Captura!$G$1</definedName>
    <definedName name="Listado.Campo_Marca">Captura!$F$1</definedName>
    <definedName name="Listado.Catálogo" localSheetId="0">Captura!$D$1</definedName>
    <definedName name="Listado.Catálogo" localSheetId="1">Captura!$D$1</definedName>
    <definedName name="Listado.Ubicación">Captura!$E$1</definedName>
    <definedName name="LISTADO_MARCAS">OFFSET(FILTRO2N!DESTINO_NIVEL_1,1,0,10,1)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G8" i="1" a="1"/>
  <c r="G17" i="1" s="1"/>
  <c r="F8" i="1" a="1"/>
  <c r="F16" i="1" s="1"/>
  <c r="G1" i="1"/>
  <c r="F1" i="1"/>
  <c r="E1" i="1"/>
  <c r="B8" i="2"/>
  <c r="H16" i="2" s="1"/>
  <c r="B7" i="2"/>
  <c r="B6" i="2"/>
  <c r="B5" i="2"/>
  <c r="F17" i="2"/>
  <c r="D17" i="2"/>
  <c r="F17" i="1" l="1"/>
  <c r="F8" i="1"/>
  <c r="G8" i="1"/>
  <c r="F9" i="1"/>
  <c r="F13" i="1"/>
  <c r="F11" i="1"/>
  <c r="F15" i="1"/>
  <c r="F10" i="1"/>
  <c r="F12" i="1"/>
  <c r="F14" i="1"/>
  <c r="G9" i="1"/>
  <c r="G10" i="1"/>
  <c r="G11" i="1"/>
  <c r="G12" i="1"/>
  <c r="G13" i="1"/>
  <c r="G14" i="1"/>
  <c r="G15" i="1"/>
  <c r="G16" i="1"/>
  <c r="H17" i="2"/>
</calcChain>
</file>

<file path=xl/sharedStrings.xml><?xml version="1.0" encoding="utf-8"?>
<sst xmlns="http://schemas.openxmlformats.org/spreadsheetml/2006/main" count="106" uniqueCount="68">
  <si>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</si>
  <si>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</si>
  <si>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</si>
  <si>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</si>
  <si>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</si>
  <si>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</si>
  <si>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</si>
  <si>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</si>
  <si>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</si>
  <si>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</si>
  <si>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</si>
  <si>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</si>
  <si>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</si>
  <si>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</si>
  <si>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</si>
  <si>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</si>
  <si>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</si>
  <si>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</si>
  <si>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</si>
  <si>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</si>
  <si>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</si>
  <si>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</si>
  <si>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</si>
  <si>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</si>
  <si>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</si>
  <si>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</si>
  <si>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</si>
  <si>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</si>
  <si>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</si>
  <si>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</si>
  <si>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</si>
  <si>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</si>
  <si>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</si>
  <si>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</si>
  <si>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</si>
  <si>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</si>
  <si>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</si>
  <si>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</si>
  <si>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</si>
  <si>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</si>
  <si>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</si>
  <si>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</si>
  <si>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</si>
  <si>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</si>
  <si>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</si>
  <si>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</si>
  <si>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</si>
  <si>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</si>
  <si>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</si>
  <si>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Parte 2</t>
  </si>
  <si>
    <t>Parte 1</t>
  </si>
  <si>
    <t>Niu</t>
  </si>
  <si>
    <t>Siu</t>
  </si>
  <si>
    <t>v1.0-SNAPSHOT</t>
  </si>
  <si>
    <t>Filtro de Catálogos a 2 Niveles</t>
  </si>
  <si>
    <t>Nivel 1</t>
  </si>
  <si>
    <t>Nivel 2</t>
  </si>
  <si>
    <t>Parámetros</t>
  </si>
  <si>
    <t>i.Ubicación</t>
  </si>
  <si>
    <t>i.Nivel 1</t>
  </si>
  <si>
    <t>i.Campo Nivel 1</t>
  </si>
  <si>
    <t>i.Campo Nivel 2</t>
  </si>
  <si>
    <t>Cálculos</t>
  </si>
  <si>
    <t>Métodos</t>
  </si>
  <si>
    <t>Actualizar Nivel 1</t>
  </si>
  <si>
    <t>Actualizar Nivel 2</t>
  </si>
  <si>
    <t>MARCAS</t>
  </si>
  <si>
    <t>AUTOS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</si>
</sst>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  <xf numFmtId="0" fontId="2" fillId="0" borderId="0" xfId="1" applyBorder="1"/>
    <xf numFmtId="0" fontId="1" fillId="6" borderId="0" xfId="0" applyFont="1" applyFill="1"/>
    <xf numFmtId="0" fontId="1" fillId="2" borderId="0" xfId="0" applyFont="1" applyFill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7773437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23</v>
      </c>
      <c r="B1" s="6"/>
      <c r="D1" s="13" t="str">
        <f>SELECCION_TIPO</f>
        <v>Niu</v>
      </c>
      <c r="E1" s="9" t="str">
        <f>VLOOKUP(Listado.Catálogo,Listado,COLUMN()-COLUMN(Listado.Catálogo)+1,0)</f>
        <v>N!A3:C13</v>
      </c>
      <c r="F1" s="9" t="str">
        <f>VLOOKUP(Listado.Catálogo,Listado,COLUMN()-COLUMN(Listado.Catálogo)+1,0)</f>
        <v>MARCA</v>
      </c>
      <c r="G1" s="9" t="str">
        <f>VLOOKUP(Listado.Catálogo,Listado,COLUMN()-COLUMN(Listado.Catálogo)+1,0)</f>
        <v>AUTO</v>
      </c>
    </row>
    <row r="2" spans="1:7" ht="15" thickTop="1" x14ac:dyDescent="0.3">
      <c r="A2" s="1"/>
      <c r="D2" s="12" t="s">
        <v>7</v>
      </c>
      <c r="E2" s="12" t="s">
        <v>48</v>
      </c>
      <c r="F2" s="12" t="s">
        <v>37</v>
      </c>
      <c r="G2" s="12" t="s">
        <v>38</v>
      </c>
    </row>
    <row r="3" spans="1:7" x14ac:dyDescent="0.3">
      <c r="A3" s="3" t="s">
        <v>31</v>
      </c>
      <c r="B3" s="4" t="s">
        <v>51</v>
      </c>
      <c r="D3" s="2" t="s">
        <v>51</v>
      </c>
      <c r="E3" s="2" t="s">
        <v>47</v>
      </c>
      <c r="F3" s="2" t="s">
        <v>0</v>
      </c>
      <c r="G3" s="2" t="s">
        <v>1</v>
      </c>
    </row>
    <row r="4" spans="1:7" x14ac:dyDescent="0.3">
      <c r="D4" s="2" t="s">
        <v>52</v>
      </c>
      <c r="E4" s="2" t="s">
        <v>41</v>
      </c>
      <c r="F4" s="2" t="s">
        <v>40</v>
      </c>
      <c r="G4" s="2" t="s">
        <v>39</v>
      </c>
    </row>
    <row r="5" spans="1:7" x14ac:dyDescent="0.3">
      <c r="A5" s="3" t="s">
        <v>0</v>
      </c>
      <c r="B5" s="4" t="s">
        <v>9</v>
      </c>
    </row>
    <row r="6" spans="1:7" x14ac:dyDescent="0.3">
      <c r="F6" s="1" t="s">
        <v>66</v>
      </c>
      <c r="G6" s="1" t="s">
        <v>67</v>
      </c>
    </row>
    <row r="7" spans="1:7" x14ac:dyDescent="0.3">
      <c r="A7" s="3" t="s">
        <v>1</v>
      </c>
      <c r="B7" s="4" t="s">
        <v>43</v>
      </c>
    </row>
    <row r="8" spans="1:7" x14ac:dyDescent="0.3">
      <c r="F8" t="str">
        <f t="array" aca="1" ref="F8:F17" ca="1">OFFSET(FILTRO2N!DESTINO_NIVEL_1,1,0,10,1)</f>
        <v>Honda</v>
      </c>
      <c r="G8" t="str">
        <f t="array" aca="1" ref="G8:G17" ca="1">OFFSET(FILTRO2N!DESTINO_NIVEL_2,1,-2,10,1)</f>
        <v>No sabe fallar</v>
      </c>
    </row>
    <row r="9" spans="1:7" x14ac:dyDescent="0.3">
      <c r="F9" t="str">
        <f ca="1"/>
        <v>Nissan</v>
      </c>
      <c r="G9" t="str">
        <f ca="1"/>
        <v>Zameid</v>
      </c>
    </row>
    <row r="10" spans="1:7" x14ac:dyDescent="0.3">
      <c r="F10" t="str">
        <f ca="1"/>
        <v>Toyota</v>
      </c>
      <c r="G10">
        <f ca="1"/>
        <v>0</v>
      </c>
    </row>
    <row r="11" spans="1:7" x14ac:dyDescent="0.3">
      <c r="F11" t="str">
        <f ca="1"/>
        <v>Baic</v>
      </c>
      <c r="G11">
        <f ca="1"/>
        <v>0</v>
      </c>
    </row>
    <row r="12" spans="1:7" x14ac:dyDescent="0.3">
      <c r="F12">
        <f ca="1"/>
        <v>0</v>
      </c>
      <c r="G12">
        <f ca="1"/>
        <v>0</v>
      </c>
    </row>
    <row r="13" spans="1:7" x14ac:dyDescent="0.3">
      <c r="F13">
        <f ca="1"/>
        <v>0</v>
      </c>
      <c r="G13">
        <f ca="1"/>
        <v>0</v>
      </c>
    </row>
    <row r="14" spans="1:7" x14ac:dyDescent="0.3">
      <c r="F14">
        <f ca="1"/>
        <v>0</v>
      </c>
      <c r="G14">
        <f ca="1"/>
        <v>0</v>
      </c>
    </row>
    <row r="15" spans="1:7" x14ac:dyDescent="0.3">
      <c r="F15">
        <f ca="1"/>
        <v>0</v>
      </c>
      <c r="G15">
        <f ca="1"/>
        <v>0</v>
      </c>
    </row>
    <row r="16" spans="1:7" x14ac:dyDescent="0.3">
      <c r="F16">
        <f ca="1"/>
        <v>0</v>
      </c>
      <c r="G16">
        <f ca="1"/>
        <v>0</v>
      </c>
    </row>
    <row r="17" spans="6:9" x14ac:dyDescent="0.3">
      <c r="F17">
        <f ca="1"/>
        <v>0</v>
      </c>
      <c r="G17">
        <f ca="1"/>
        <v>0</v>
      </c>
    </row>
    <row r="18" spans="6:9" x14ac:dyDescent="0.3">
      <c r="I18" s="2"/>
    </row>
    <row r="19" spans="6:9" x14ac:dyDescent="0.3">
      <c r="I19" s="2"/>
    </row>
    <row r="20" spans="6:9" x14ac:dyDescent="0.3">
      <c r="I20" s="2"/>
    </row>
    <row r="21" spans="6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LISTADO_MARCAS</formula1>
    </dataValidation>
    <dataValidation type="list" showInputMessage="1" showErrorMessage="1" sqref="B7">
      <formula1>OFFSET(DESTINO_NIVEL_2,1,-2,CONTEO_NIVEL_2,1)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A3" sqref="A3:D19"/>
    </sheetView>
  </sheetViews>
  <sheetFormatPr defaultRowHeight="14.4" x14ac:dyDescent="0.3"/>
  <cols>
    <col min="1" max="1" width="8.44140625" customWidth="1"/>
    <col min="2" max="2" width="12.33203125" bestFit="1" customWidth="1"/>
    <col min="3" max="3" width="12.77734375" bestFit="1" customWidth="1"/>
    <col min="4" max="4" width="11.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24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21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46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45</v>
      </c>
      <c r="C10" s="5" t="s">
        <v>20</v>
      </c>
    </row>
    <row r="11" spans="1:3" x14ac:dyDescent="0.3">
      <c r="A11" s="2" t="s">
        <v>9</v>
      </c>
      <c r="B11" s="2" t="s">
        <v>11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43</v>
      </c>
      <c r="C13" s="2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A3" sqref="A3:D9"/>
    </sheetView>
  </sheetViews>
  <sheetFormatPr defaultRowHeight="14.4" x14ac:dyDescent="0.3"/>
  <sheetData>
    <row r="1" spans="1:4" ht="15" thickBot="1" x14ac:dyDescent="0.35">
      <c r="A1" s="15" t="s">
        <v>30</v>
      </c>
      <c r="B1" s="11"/>
      <c r="C1" s="11"/>
      <c r="D1" s="11"/>
    </row>
    <row r="3" spans="1:4" x14ac:dyDescent="0.3">
      <c r="A3" s="12" t="s">
        <v>40</v>
      </c>
      <c r="B3" s="12" t="s">
        <v>39</v>
      </c>
      <c r="C3" s="12" t="s">
        <v>25</v>
      </c>
      <c r="D3" s="12" t="s">
        <v>26</v>
      </c>
    </row>
    <row r="4" spans="1:4" x14ac:dyDescent="0.3">
      <c r="A4" s="2" t="s">
        <v>27</v>
      </c>
      <c r="B4" s="2" t="s">
        <v>29</v>
      </c>
      <c r="C4">
        <v>8.8106383065839573</v>
      </c>
      <c r="D4">
        <v>6.3011362111200047</v>
      </c>
    </row>
    <row r="5" spans="1:4" x14ac:dyDescent="0.3">
      <c r="A5" s="2" t="s">
        <v>27</v>
      </c>
      <c r="B5" s="2" t="s">
        <v>28</v>
      </c>
      <c r="C5">
        <v>7.2675707505870459</v>
      </c>
      <c r="D5">
        <v>4.3389142972765162</v>
      </c>
    </row>
    <row r="6" spans="1:4" x14ac:dyDescent="0.3">
      <c r="A6" s="2" t="s">
        <v>32</v>
      </c>
      <c r="B6" s="2" t="s">
        <v>42</v>
      </c>
      <c r="C6">
        <v>1.1715791197126735</v>
      </c>
      <c r="D6">
        <v>4.9894536745463682</v>
      </c>
    </row>
    <row r="7" spans="1:4" x14ac:dyDescent="0.3">
      <c r="A7" s="2" t="s">
        <v>32</v>
      </c>
      <c r="B7" s="2" t="s">
        <v>33</v>
      </c>
      <c r="C7">
        <v>4.0387509514536877</v>
      </c>
      <c r="D7">
        <v>3.3369747631604527</v>
      </c>
    </row>
    <row r="8" spans="1:4" x14ac:dyDescent="0.3">
      <c r="A8" s="2" t="s">
        <v>34</v>
      </c>
      <c r="B8" s="2" t="s">
        <v>36</v>
      </c>
      <c r="C8">
        <v>6.13038631666927</v>
      </c>
      <c r="D8">
        <v>6.1076115494800653</v>
      </c>
    </row>
    <row r="9" spans="1:4" x14ac:dyDescent="0.3">
      <c r="A9" s="2" t="s">
        <v>34</v>
      </c>
      <c r="B9" s="2" t="s">
        <v>35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7" sqref="F7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10" width="8.88671875" customWidth="1"/>
  </cols>
  <sheetData>
    <row r="1" spans="1:8" ht="19.8" x14ac:dyDescent="0.4">
      <c r="A1" s="17" t="s">
        <v>54</v>
      </c>
    </row>
    <row r="2" spans="1:8" x14ac:dyDescent="0.3">
      <c r="A2" s="1" t="s">
        <v>53</v>
      </c>
    </row>
    <row r="4" spans="1:8" x14ac:dyDescent="0.3">
      <c r="A4" s="18" t="s">
        <v>57</v>
      </c>
      <c r="B4" s="18"/>
      <c r="D4" t="s">
        <v>63</v>
      </c>
    </row>
    <row r="5" spans="1:8" x14ac:dyDescent="0.3">
      <c r="A5" t="s">
        <v>58</v>
      </c>
      <c r="B5" t="str">
        <f>Listado.Ubicación</f>
        <v>N!A3:C13</v>
      </c>
    </row>
    <row r="6" spans="1:8" x14ac:dyDescent="0.3">
      <c r="A6" t="s">
        <v>60</v>
      </c>
      <c r="B6" t="str">
        <f>Listado.Campo_Marca</f>
        <v>MARCA</v>
      </c>
      <c r="D6" t="s">
        <v>64</v>
      </c>
    </row>
    <row r="7" spans="1:8" x14ac:dyDescent="0.3">
      <c r="A7" t="s">
        <v>61</v>
      </c>
      <c r="B7" t="str">
        <f>Listado.Campo_Auto</f>
        <v>AUTO</v>
      </c>
    </row>
    <row r="8" spans="1:8" x14ac:dyDescent="0.3">
      <c r="A8" t="s">
        <v>59</v>
      </c>
      <c r="B8" t="str">
        <f>SELECCION_MARCA</f>
        <v>Honda</v>
      </c>
      <c r="D8" t="s">
        <v>65</v>
      </c>
    </row>
    <row r="10" spans="1:8" x14ac:dyDescent="0.3">
      <c r="D10" s="19" t="s">
        <v>62</v>
      </c>
      <c r="E10" s="19"/>
      <c r="F10" s="19"/>
      <c r="G10" s="19"/>
      <c r="H10" s="19"/>
    </row>
    <row r="12" spans="1:8" x14ac:dyDescent="0.3">
      <c r="D12" s="9" t="s">
        <v>55</v>
      </c>
      <c r="F12" s="9" t="s">
        <v>56</v>
      </c>
      <c r="G12" s="10"/>
      <c r="H12" s="10"/>
    </row>
    <row r="14" spans="1:8" x14ac:dyDescent="0.3">
      <c r="F14" s="16" t="s">
        <v>49</v>
      </c>
      <c r="H14" s="16" t="s">
        <v>50</v>
      </c>
    </row>
    <row r="16" spans="1:8" x14ac:dyDescent="0.3">
      <c r="D16" s="3" t="s">
        <v>8</v>
      </c>
      <c r="F16" s="3" t="s">
        <v>8</v>
      </c>
      <c r="H16" s="8" t="str">
        <f>i.Nivel_1</f>
        <v>Honda</v>
      </c>
    </row>
    <row r="17" spans="4:11" x14ac:dyDescent="0.3">
      <c r="D17" s="4">
        <f>COUNTA(D20:D23)</f>
        <v>4</v>
      </c>
      <c r="F17" s="4">
        <f>COUNTA(F20:F23)</f>
        <v>2</v>
      </c>
      <c r="H17" s="7" t="str">
        <f>SELECCION_MARCA</f>
        <v>Honda</v>
      </c>
      <c r="J17" s="3"/>
    </row>
    <row r="18" spans="4:11" x14ac:dyDescent="0.3">
      <c r="J18" s="2"/>
    </row>
    <row r="19" spans="4:11" x14ac:dyDescent="0.3">
      <c r="D19" s="12" t="s">
        <v>0</v>
      </c>
      <c r="F19" s="12" t="s">
        <v>1</v>
      </c>
      <c r="H19" s="12" t="s">
        <v>0</v>
      </c>
      <c r="I19" s="12" t="s">
        <v>1</v>
      </c>
      <c r="J19" s="12" t="s">
        <v>2</v>
      </c>
      <c r="K19" s="12"/>
    </row>
    <row r="20" spans="4:11" x14ac:dyDescent="0.3">
      <c r="D20" s="2" t="s">
        <v>9</v>
      </c>
      <c r="F20" s="2" t="s">
        <v>43</v>
      </c>
      <c r="G20" s="2"/>
      <c r="H20" s="2" t="s">
        <v>19</v>
      </c>
      <c r="I20" s="2" t="s">
        <v>45</v>
      </c>
      <c r="J20" s="5" t="s">
        <v>20</v>
      </c>
    </row>
    <row r="21" spans="4:11" x14ac:dyDescent="0.3">
      <c r="D21" s="2" t="s">
        <v>10</v>
      </c>
      <c r="F21" s="2" t="s">
        <v>45</v>
      </c>
      <c r="G21" s="2"/>
      <c r="H21" s="2" t="s">
        <v>19</v>
      </c>
      <c r="I21" s="2" t="s">
        <v>43</v>
      </c>
      <c r="J21" s="2" t="s">
        <v>44</v>
      </c>
    </row>
    <row r="22" spans="4:11" x14ac:dyDescent="0.3">
      <c r="D22" s="2" t="s">
        <v>16</v>
      </c>
      <c r="F22" s="2"/>
      <c r="H22" s="2"/>
      <c r="I22" s="2"/>
      <c r="J22" s="2"/>
    </row>
    <row r="23" spans="4:11" x14ac:dyDescent="0.3">
      <c r="D23" s="2" t="s">
        <v>19</v>
      </c>
      <c r="F23" s="2"/>
      <c r="H23" s="2"/>
      <c r="I23" s="2"/>
      <c r="J23" s="2"/>
    </row>
  </sheetData>
  <sortState ref="F17:F18">
    <sortCondition ref="F19:F2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Captura</vt:lpstr>
      <vt:lpstr>Listados</vt:lpstr>
      <vt:lpstr>N</vt:lpstr>
      <vt:lpstr>S</vt:lpstr>
      <vt:lpstr>FILTRO2N</vt:lpstr>
      <vt:lpstr>CATALOGO_N</vt:lpstr>
      <vt:lpstr>CATALOGO_S</vt:lpstr>
      <vt:lpstr>FILTRO2N!CONTEO_NIVEL_1</vt:lpstr>
      <vt:lpstr>FILTRO2N!CONTEO_NIVEL_2</vt:lpstr>
      <vt:lpstr>FILTRO2N!DESTINO_NIVEL_1</vt:lpstr>
      <vt:lpstr>FILTRO2N!DESTINO_NIVEL_2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Captura!Listado</vt:lpstr>
      <vt:lpstr>Listados!Listado</vt:lpstr>
      <vt:lpstr>Listado.Campo_Auto</vt:lpstr>
      <vt:lpstr>Listado.Campo_Marca</vt:lpstr>
      <vt:lpstr>Captura!Listado.Catálogo</vt:lpstr>
      <vt:lpstr>Listados!Listado.Catálogo</vt:lpstr>
      <vt:lpstr>Listado.Ubicación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2016-07-30T20:08:53Z</dcterms:modified>
</cp:coreProperties>
</file>