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Filtro\Ejemplos\"/>
    </mc:Choice>
  </mc:AlternateContent>
  <bookViews>
    <workbookView xWindow="0" yWindow="0" windowWidth="23040" windowHeight="9096"/>
  </bookViews>
  <sheets>
    <sheet name="Captura" sheetId="1" r:id="rId1"/>
    <sheet name="N" sheetId="3" r:id="rId2"/>
    <sheet name="S" sheetId="4" r:id="rId3"/>
    <sheet name="FILTRO2N" sheetId="6" r:id="rId4"/>
  </sheets>
  <functionGroups builtInGroupCount="18"/>
  <definedNames>
    <definedName name="_DESTINO_NIVEL_1_VBA" localSheetId="3">FILTRO2N!$D$19</definedName>
    <definedName name="_DESTINO_NIVEL_2_VBA" localSheetId="3">FILTRO2N!$H$19</definedName>
    <definedName name="_xlnm._FilterDatabase" localSheetId="0" hidden="1">S!$A$3:$D$9</definedName>
    <definedName name="_xlnm._FilterDatabase" localSheetId="3" hidden="1">FILTRO2N!$I$19:$I$21</definedName>
    <definedName name="_xlnm._FilterDatabase" localSheetId="1" hidden="1">N!$A$3:$C$13</definedName>
    <definedName name="_xlnm._FilterDatabase" localSheetId="2" hidden="1">S!$A$3:$D$10</definedName>
    <definedName name="CATALOGO_N">N!$A$3:$C$13</definedName>
    <definedName name="CATALOGO_S">S!$A$3:$D$10</definedName>
    <definedName name="_xlnm.Extract" localSheetId="3">FILTRO2N!$F$19</definedName>
    <definedName name="FILTRO_NIVEL_2" localSheetId="3">FILTRO2N!$H$16:$H$17</definedName>
    <definedName name="FUENTE_AUTOS">OFFSET( FILTRO2N!o.Elementos_Nivel_2,0,0, FILTRO2N!o.Conteo_Nivel_2,1)</definedName>
    <definedName name="FUENTE_MARCAS">OFFSET( FILTRO2N!o.Elementos_Nivel_1,0,0, FILTRO2N!o.Conteo_Nivel_1,1)</definedName>
    <definedName name="i.Campo_Nivel_1" localSheetId="3">FILTRO2N!$B$6</definedName>
    <definedName name="i.Campo_Nivel_2" localSheetId="3">FILTRO2N!$B$7</definedName>
    <definedName name="i.Nivel_1" localSheetId="3">FILTRO2N!$B$8</definedName>
    <definedName name="i.Ubicación" localSheetId="3">FILTRO2N!$B$5</definedName>
    <definedName name="INPUT_CELLS">Captura!$B$3,Captura!$B$5,Captura!$B$7</definedName>
    <definedName name="Listado">Captura!$D$3:$G$4</definedName>
    <definedName name="Listado.Campo_Auto">Captura!$G$1</definedName>
    <definedName name="Listado.Campo_Marca">Captura!$F$1</definedName>
    <definedName name="Listado.Catálogo">Captura!$D$1</definedName>
    <definedName name="Listado.Ubicación">Captura!$E$1</definedName>
    <definedName name="o.Conteo_Nivel_1" localSheetId="3">FILTRO2N!$D$17</definedName>
    <definedName name="o.Conteo_Nivel_2" localSheetId="3">FILTRO2N!$F$17</definedName>
    <definedName name="o.Elementos_Nivel_1" localSheetId="3">FILTRO2N!$D$20</definedName>
    <definedName name="o.Elementos_Nivel_2" localSheetId="3">FILTRO2N!$F$20</definedName>
    <definedName name="SELECCION_AUTO">Captura!$B$7</definedName>
    <definedName name="SELECCION_MARCA">Captura!$B$5</definedName>
    <definedName name="SELECCION_TIPO">Captura!$B$3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6" l="1"/>
  <c r="D17" i="6" l="1"/>
  <c r="F17" i="6"/>
  <c r="H17" i="6"/>
  <c r="D1" i="1" l="1"/>
  <c r="F1" i="1" s="1"/>
  <c r="B6" i="6" s="1"/>
  <c r="H16" i="6" s="1"/>
  <c r="G1" i="1" l="1"/>
  <c r="B7" i="6" s="1"/>
  <c r="E1" i="1"/>
  <c r="B5" i="6" s="1"/>
</calcChain>
</file>

<file path=xl/sharedStrings.xml><?xml version="1.0" encoding="utf-8"?>
<sst xmlns="http://schemas.openxmlformats.org/spreadsheetml/2006/main" count="120" uniqueCount="79">
  <si>
    <t>MARCA</t>
  </si>
  <si>
    <t>AUTO</t>
  </si>
  <si>
    <t>DATO</t>
  </si>
  <si>
    <t>a</t>
  </si>
  <si>
    <t>b</t>
  </si>
  <si>
    <t>c</t>
  </si>
  <si>
    <t>d</t>
  </si>
  <si>
    <t>Catálogo</t>
  </si>
  <si>
    <t>Honda</t>
  </si>
  <si>
    <t>Nissan</t>
  </si>
  <si>
    <t>Accord</t>
  </si>
  <si>
    <t>Civic</t>
  </si>
  <si>
    <t>Sentra</t>
  </si>
  <si>
    <t>Ventra</t>
  </si>
  <si>
    <t>e</t>
  </si>
  <si>
    <t>Toyota</t>
  </si>
  <si>
    <t>TuHoyota</t>
  </si>
  <si>
    <t>g</t>
  </si>
  <si>
    <t>Baic</t>
  </si>
  <si>
    <t>--</t>
  </si>
  <si>
    <t>Fit</t>
  </si>
  <si>
    <t>x</t>
  </si>
  <si>
    <t>Captura</t>
  </si>
  <si>
    <t>Catálogo N</t>
  </si>
  <si>
    <t>Campo</t>
  </si>
  <si>
    <t>Traviesa</t>
  </si>
  <si>
    <t>Hummer</t>
  </si>
  <si>
    <t>H2</t>
  </si>
  <si>
    <t>H3</t>
  </si>
  <si>
    <t>Catálogo S</t>
  </si>
  <si>
    <t>TIPO</t>
  </si>
  <si>
    <t>Ford</t>
  </si>
  <si>
    <t>Exploter</t>
  </si>
  <si>
    <t>Chevrolet</t>
  </si>
  <si>
    <t>Chevy</t>
  </si>
  <si>
    <t>Spank</t>
  </si>
  <si>
    <t>Campo Marca</t>
  </si>
  <si>
    <t>Campo Auto</t>
  </si>
  <si>
    <t>Carro</t>
  </si>
  <si>
    <t>Brand</t>
  </si>
  <si>
    <t>CATALOGO_S</t>
  </si>
  <si>
    <t>Ka</t>
  </si>
  <si>
    <t>No sabe fallar</t>
  </si>
  <si>
    <t>?</t>
  </si>
  <si>
    <t>Zameid</t>
  </si>
  <si>
    <t>CRV</t>
  </si>
  <si>
    <t>N!A3:C13</t>
  </si>
  <si>
    <t>Ubicación</t>
  </si>
  <si>
    <t>Niu</t>
  </si>
  <si>
    <t>Siu</t>
  </si>
  <si>
    <t>Conteo</t>
  </si>
  <si>
    <t>Parte 1</t>
  </si>
  <si>
    <t>Parte 2</t>
  </si>
  <si>
    <t>(Usar el nombre de la hoja)</t>
  </si>
  <si>
    <t>=OFFSET( FILTRO2N!o.Elementos_Nivel_2 ,0,0, FILTRO2N!o.Conteo_Nivel_2 ,1)</t>
  </si>
  <si>
    <t>Nivel 2</t>
  </si>
  <si>
    <t>Nivel 1</t>
  </si>
  <si>
    <t xml:space="preserve"> </t>
  </si>
  <si>
    <t>=OFFSET( FILTRO2N!o.Elementos_Nivel_1 ,0,0, FILTRO2N!o.Conteo_Nivel_1 ,1)</t>
  </si>
  <si>
    <t>Fórmulas para DV</t>
  </si>
  <si>
    <t>Cálculos</t>
  </si>
  <si>
    <t>Número de elementos en el listado.</t>
  </si>
  <si>
    <t>o.Conteo_Nivel_2</t>
  </si>
  <si>
    <t>Actualizar Nivel 2</t>
  </si>
  <si>
    <t>i.Nivel 1</t>
  </si>
  <si>
    <t>Celda inicial del listado.</t>
  </si>
  <si>
    <t>o.Elementos_Nivel_2</t>
  </si>
  <si>
    <t>i.Campo Nivel 2</t>
  </si>
  <si>
    <t>o.Conteo_Nivel_1</t>
  </si>
  <si>
    <t>Actualizar Nivel 1</t>
  </si>
  <si>
    <t>i.Campo Nivel 1</t>
  </si>
  <si>
    <t>o.Elementos_Nivel_1</t>
  </si>
  <si>
    <t>i.Ubicación</t>
  </si>
  <si>
    <t>Resultados (descripción)</t>
  </si>
  <si>
    <t>Métodos</t>
  </si>
  <si>
    <t>Parámetros</t>
  </si>
  <si>
    <t>v1.0-SNAPSHOT</t>
  </si>
  <si>
    <t>Filtro de Catálogos a 2 Niveles</t>
  </si>
  <si>
    <t>USADO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</si>
</sst>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23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2" fillId="0" borderId="2" xfId="1"/>
    <xf numFmtId="0" fontId="1" fillId="2" borderId="0" xfId="0" applyFont="1" applyFill="1" applyAlignment="1">
      <alignment horizontal="center"/>
    </xf>
    <xf numFmtId="0" fontId="3" fillId="0" borderId="3" xfId="2" applyAlignment="1">
      <alignment horizontal="centerContinuous"/>
    </xf>
    <xf numFmtId="0" fontId="1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3" fillId="0" borderId="3" xfId="2" applyAlignment="1">
      <alignment horizontal="left"/>
    </xf>
    <xf numFmtId="0" fontId="3" fillId="0" borderId="3" xfId="2" applyAlignment="1">
      <alignment horizontal="center"/>
    </xf>
    <xf numFmtId="0" fontId="0" fillId="0" borderId="4" xfId="0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0" xfId="0" quotePrefix="1"/>
    <xf numFmtId="0" fontId="0" fillId="2" borderId="0" xfId="0" applyFill="1"/>
    <xf numFmtId="0" fontId="1" fillId="2" borderId="0" xfId="0" applyFont="1" applyFill="1"/>
    <xf numFmtId="0" fontId="0" fillId="0" borderId="6" xfId="0" applyBorder="1"/>
    <xf numFmtId="0" fontId="1" fillId="0" borderId="6" xfId="0" applyFont="1" applyBorder="1"/>
    <xf numFmtId="0" fontId="1" fillId="6" borderId="0" xfId="0" applyFont="1" applyFill="1"/>
    <xf numFmtId="0" fontId="2" fillId="0" borderId="0" xfId="1" applyBorder="1"/>
  </cellXfs>
  <cellStyles count="3">
    <cellStyle name="Heading 1" xfId="1" builtinId="16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tabSelected="1" workbookViewId="0"/>
  </sheetViews>
  <sheetFormatPr defaultRowHeight="14.4" x14ac:dyDescent="0.3"/>
  <cols>
    <col min="2" max="2" width="12.33203125" bestFit="1" customWidth="1"/>
    <col min="4" max="4" width="8.44140625" customWidth="1"/>
    <col min="5" max="5" width="12" bestFit="1" customWidth="1"/>
    <col min="6" max="6" width="12.6640625" bestFit="1" customWidth="1"/>
    <col min="7" max="7" width="12.33203125" bestFit="1" customWidth="1"/>
    <col min="16" max="16" width="8.88671875" customWidth="1"/>
    <col min="17" max="19" width="16.33203125" customWidth="1"/>
    <col min="20" max="20" width="11.5546875" bestFit="1" customWidth="1"/>
  </cols>
  <sheetData>
    <row r="1" spans="1:7" ht="20.399999999999999" thickBot="1" x14ac:dyDescent="0.45">
      <c r="A1" s="6" t="s">
        <v>22</v>
      </c>
      <c r="B1" s="6"/>
      <c r="D1" s="10" t="str">
        <f>SELECCION_TIPO</f>
        <v>Niu</v>
      </c>
      <c r="E1" s="7" t="str">
        <f>VLOOKUP(Listado.Catálogo,Listado,COLUMN()-COLUMN(Listado.Catálogo)+1,0)</f>
        <v>N!A3:C13</v>
      </c>
      <c r="F1" s="7" t="str">
        <f>VLOOKUP(Listado.Catálogo,Listado,COLUMN()-COLUMN(Listado.Catálogo)+1,0)</f>
        <v>MARCA</v>
      </c>
      <c r="G1" s="7" t="str">
        <f>VLOOKUP(Listado.Catálogo,Listado,COLUMN()-COLUMN(Listado.Catálogo)+1,0)</f>
        <v>AUTO</v>
      </c>
    </row>
    <row r="2" spans="1:7" ht="15" thickTop="1" x14ac:dyDescent="0.3">
      <c r="A2" s="1"/>
      <c r="D2" s="9" t="s">
        <v>7</v>
      </c>
      <c r="E2" s="9" t="s">
        <v>47</v>
      </c>
      <c r="F2" s="9" t="s">
        <v>36</v>
      </c>
      <c r="G2" s="9" t="s">
        <v>37</v>
      </c>
    </row>
    <row r="3" spans="1:7" x14ac:dyDescent="0.3">
      <c r="A3" s="3" t="s">
        <v>30</v>
      </c>
      <c r="B3" s="4" t="s">
        <v>48</v>
      </c>
      <c r="D3" s="2" t="s">
        <v>48</v>
      </c>
      <c r="E3" s="2" t="s">
        <v>46</v>
      </c>
      <c r="F3" s="2" t="s">
        <v>0</v>
      </c>
      <c r="G3" s="2" t="s">
        <v>1</v>
      </c>
    </row>
    <row r="4" spans="1:7" x14ac:dyDescent="0.3">
      <c r="D4" s="2" t="s">
        <v>49</v>
      </c>
      <c r="E4" s="2" t="s">
        <v>40</v>
      </c>
      <c r="F4" s="2" t="s">
        <v>39</v>
      </c>
      <c r="G4" s="2" t="s">
        <v>38</v>
      </c>
    </row>
    <row r="5" spans="1:7" x14ac:dyDescent="0.3">
      <c r="A5" s="3" t="s">
        <v>0</v>
      </c>
      <c r="B5" s="4" t="s">
        <v>18</v>
      </c>
    </row>
    <row r="6" spans="1:7" x14ac:dyDescent="0.3">
      <c r="F6" s="1"/>
      <c r="G6" s="1"/>
    </row>
    <row r="7" spans="1:7" x14ac:dyDescent="0.3">
      <c r="A7" s="3" t="s">
        <v>1</v>
      </c>
      <c r="B7" s="4" t="s">
        <v>42</v>
      </c>
    </row>
    <row r="18" spans="9:9" x14ac:dyDescent="0.3">
      <c r="I18" s="2"/>
    </row>
    <row r="19" spans="9:9" x14ac:dyDescent="0.3">
      <c r="I19" s="2"/>
    </row>
    <row r="20" spans="9:9" x14ac:dyDescent="0.3">
      <c r="I20" s="2"/>
    </row>
    <row r="21" spans="9:9" x14ac:dyDescent="0.3">
      <c r="I21" s="2"/>
    </row>
  </sheetData>
  <sortState ref="L18:N21">
    <sortCondition ref="M18:M21"/>
  </sortState>
  <dataValidations count="3">
    <dataValidation type="list" showInputMessage="1" showErrorMessage="1" sqref="B5">
      <formula1>FUENTE_MARCAS</formula1>
    </dataValidation>
    <dataValidation type="list" showInputMessage="1" showErrorMessage="1" sqref="B7">
      <formula1>FUENTE_AUTOS</formula1>
    </dataValidation>
    <dataValidation type="list" showInputMessage="1" showErrorMessage="1" sqref="B3">
      <formula1>$D$3:$D$4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"/>
  <sheetViews>
    <sheetView workbookViewId="0"/>
  </sheetViews>
  <sheetFormatPr defaultRowHeight="14.4" x14ac:dyDescent="0.3"/>
  <sheetData>
    <row r="1" spans="1:3" ht="15" thickBot="1" x14ac:dyDescent="0.35">
      <c r="A1" s="11" t="s">
        <v>23</v>
      </c>
      <c r="B1" s="8"/>
      <c r="C1" s="8"/>
    </row>
    <row r="3" spans="1:3" x14ac:dyDescent="0.3">
      <c r="A3" s="9" t="s">
        <v>0</v>
      </c>
      <c r="B3" s="9" t="s">
        <v>1</v>
      </c>
      <c r="C3" s="9" t="s">
        <v>2</v>
      </c>
    </row>
    <row r="4" spans="1:3" x14ac:dyDescent="0.3">
      <c r="A4" s="2" t="s">
        <v>8</v>
      </c>
      <c r="B4" s="2" t="s">
        <v>20</v>
      </c>
      <c r="C4" s="2" t="s">
        <v>3</v>
      </c>
    </row>
    <row r="5" spans="1:3" x14ac:dyDescent="0.3">
      <c r="A5" s="2" t="s">
        <v>8</v>
      </c>
      <c r="B5" s="2" t="s">
        <v>11</v>
      </c>
      <c r="C5" s="2" t="s">
        <v>4</v>
      </c>
    </row>
    <row r="6" spans="1:3" x14ac:dyDescent="0.3">
      <c r="A6" s="2" t="s">
        <v>9</v>
      </c>
      <c r="B6" s="2" t="s">
        <v>12</v>
      </c>
      <c r="C6" s="2" t="s">
        <v>5</v>
      </c>
    </row>
    <row r="7" spans="1:3" x14ac:dyDescent="0.3">
      <c r="A7" s="2" t="s">
        <v>9</v>
      </c>
      <c r="B7" s="2" t="s">
        <v>13</v>
      </c>
      <c r="C7" s="2" t="s">
        <v>6</v>
      </c>
    </row>
    <row r="8" spans="1:3" x14ac:dyDescent="0.3">
      <c r="A8" s="2" t="s">
        <v>8</v>
      </c>
      <c r="B8" s="2" t="s">
        <v>45</v>
      </c>
      <c r="C8" s="2" t="s">
        <v>14</v>
      </c>
    </row>
    <row r="9" spans="1:3" x14ac:dyDescent="0.3">
      <c r="A9" s="2" t="s">
        <v>15</v>
      </c>
      <c r="B9" s="2" t="s">
        <v>16</v>
      </c>
      <c r="C9" s="2" t="s">
        <v>17</v>
      </c>
    </row>
    <row r="10" spans="1:3" x14ac:dyDescent="0.3">
      <c r="A10" s="2" t="s">
        <v>18</v>
      </c>
      <c r="B10" s="2" t="s">
        <v>44</v>
      </c>
      <c r="C10" s="5" t="s">
        <v>19</v>
      </c>
    </row>
    <row r="11" spans="1:3" x14ac:dyDescent="0.3">
      <c r="A11" s="2" t="s">
        <v>8</v>
      </c>
      <c r="B11" s="2" t="s">
        <v>10</v>
      </c>
      <c r="C11" s="2" t="s">
        <v>21</v>
      </c>
    </row>
    <row r="12" spans="1:3" x14ac:dyDescent="0.3">
      <c r="A12" s="2" t="s">
        <v>8</v>
      </c>
      <c r="B12" s="2" t="s">
        <v>11</v>
      </c>
      <c r="C12" s="2" t="s">
        <v>4</v>
      </c>
    </row>
    <row r="13" spans="1:3" x14ac:dyDescent="0.3">
      <c r="A13" s="2" t="s">
        <v>18</v>
      </c>
      <c r="B13" s="2" t="s">
        <v>42</v>
      </c>
      <c r="C13" s="2" t="s">
        <v>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"/>
  <sheetViews>
    <sheetView workbookViewId="0">
      <selection activeCell="E19" sqref="E19"/>
    </sheetView>
  </sheetViews>
  <sheetFormatPr defaultRowHeight="14.4" x14ac:dyDescent="0.3"/>
  <sheetData>
    <row r="1" spans="1:4" ht="15" thickBot="1" x14ac:dyDescent="0.35">
      <c r="A1" s="12" t="s">
        <v>29</v>
      </c>
      <c r="B1" s="8"/>
      <c r="C1" s="8"/>
      <c r="D1" s="8"/>
    </row>
    <row r="3" spans="1:4" x14ac:dyDescent="0.3">
      <c r="A3" s="9" t="s">
        <v>39</v>
      </c>
      <c r="B3" s="9" t="s">
        <v>38</v>
      </c>
      <c r="C3" s="9" t="s">
        <v>24</v>
      </c>
      <c r="D3" s="9" t="s">
        <v>25</v>
      </c>
    </row>
    <row r="4" spans="1:4" x14ac:dyDescent="0.3">
      <c r="A4" s="2" t="s">
        <v>26</v>
      </c>
      <c r="B4" s="2" t="s">
        <v>28</v>
      </c>
      <c r="C4">
        <v>8.8106383065839573</v>
      </c>
      <c r="D4">
        <v>6.3011362111200047</v>
      </c>
    </row>
    <row r="5" spans="1:4" x14ac:dyDescent="0.3">
      <c r="A5" s="2" t="s">
        <v>26</v>
      </c>
      <c r="B5" s="2" t="s">
        <v>27</v>
      </c>
      <c r="C5">
        <v>7.2675707505870459</v>
      </c>
      <c r="D5">
        <v>4.3389142972765162</v>
      </c>
    </row>
    <row r="6" spans="1:4" x14ac:dyDescent="0.3">
      <c r="A6" s="2" t="s">
        <v>31</v>
      </c>
      <c r="B6" s="2" t="s">
        <v>41</v>
      </c>
      <c r="C6">
        <v>1.1715791197126735</v>
      </c>
      <c r="D6">
        <v>4.9894536745463682</v>
      </c>
    </row>
    <row r="7" spans="1:4" x14ac:dyDescent="0.3">
      <c r="A7" s="2" t="s">
        <v>31</v>
      </c>
      <c r="B7" s="2" t="s">
        <v>32</v>
      </c>
      <c r="C7">
        <v>4.0387509514536877</v>
      </c>
      <c r="D7">
        <v>3.3369747631604527</v>
      </c>
    </row>
    <row r="8" spans="1:4" x14ac:dyDescent="0.3">
      <c r="A8" s="2" t="s">
        <v>33</v>
      </c>
      <c r="B8" s="2" t="s">
        <v>35</v>
      </c>
      <c r="C8">
        <v>6.13038631666927</v>
      </c>
      <c r="D8">
        <v>6.1076115494800653</v>
      </c>
    </row>
    <row r="9" spans="1:4" x14ac:dyDescent="0.3">
      <c r="A9" s="2" t="s">
        <v>33</v>
      </c>
      <c r="B9" s="2" t="s">
        <v>34</v>
      </c>
      <c r="C9">
        <v>6.2170693280560743</v>
      </c>
      <c r="D9">
        <v>7.3009730504415167</v>
      </c>
    </row>
    <row r="10" spans="1:4" x14ac:dyDescent="0.3">
      <c r="A10" s="2" t="s">
        <v>8</v>
      </c>
      <c r="B10" s="2" t="s">
        <v>78</v>
      </c>
      <c r="C10">
        <v>4.0387509514536877</v>
      </c>
      <c r="D10">
        <v>4.9894536745463682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iltro2N"/>
  <dimension ref="A1:K23"/>
  <sheetViews>
    <sheetView workbookViewId="0">
      <selection activeCell="F20" sqref="F20:F21"/>
    </sheetView>
  </sheetViews>
  <sheetFormatPr defaultRowHeight="14.4" x14ac:dyDescent="0.3"/>
  <cols>
    <col min="1" max="1" width="13.88671875" customWidth="1"/>
    <col min="2" max="2" width="12" customWidth="1"/>
    <col min="3" max="3" width="2.33203125" customWidth="1"/>
    <col min="4" max="4" width="8.88671875" customWidth="1"/>
    <col min="7" max="9" width="8.88671875" customWidth="1"/>
    <col min="10" max="10" width="18.5546875" customWidth="1"/>
  </cols>
  <sheetData>
    <row r="1" spans="1:11" ht="19.8" x14ac:dyDescent="0.4">
      <c r="A1" s="22" t="s">
        <v>77</v>
      </c>
    </row>
    <row r="2" spans="1:11" x14ac:dyDescent="0.3">
      <c r="A2" s="1" t="s">
        <v>76</v>
      </c>
    </row>
    <row r="4" spans="1:11" x14ac:dyDescent="0.3">
      <c r="A4" s="21" t="s">
        <v>75</v>
      </c>
      <c r="B4" s="21"/>
      <c r="D4" s="20" t="s">
        <v>74</v>
      </c>
      <c r="E4" s="19"/>
      <c r="F4" s="19"/>
      <c r="J4" s="1" t="s">
        <v>73</v>
      </c>
    </row>
    <row r="5" spans="1:11" x14ac:dyDescent="0.3">
      <c r="A5" t="s">
        <v>72</v>
      </c>
      <c r="B5" t="str">
        <f>Listado.Ubicación</f>
        <v>N!A3:C13</v>
      </c>
      <c r="J5" t="s">
        <v>71</v>
      </c>
      <c r="K5" t="s">
        <v>65</v>
      </c>
    </row>
    <row r="6" spans="1:11" x14ac:dyDescent="0.3">
      <c r="A6" t="s">
        <v>70</v>
      </c>
      <c r="B6" t="str">
        <f>Listado.Campo_Marca</f>
        <v>MARCA</v>
      </c>
      <c r="D6" t="s">
        <v>69</v>
      </c>
      <c r="J6" t="s">
        <v>68</v>
      </c>
      <c r="K6" t="s">
        <v>61</v>
      </c>
    </row>
    <row r="7" spans="1:11" x14ac:dyDescent="0.3">
      <c r="A7" t="s">
        <v>67</v>
      </c>
      <c r="B7" t="str">
        <f>Listado.Campo_Auto</f>
        <v>AUTO</v>
      </c>
      <c r="J7" t="s">
        <v>66</v>
      </c>
      <c r="K7" t="s">
        <v>65</v>
      </c>
    </row>
    <row r="8" spans="1:11" x14ac:dyDescent="0.3">
      <c r="A8" t="s">
        <v>64</v>
      </c>
      <c r="B8" t="str">
        <f>SELECCION_MARCA</f>
        <v>Baic</v>
      </c>
      <c r="D8" t="s">
        <v>63</v>
      </c>
      <c r="J8" t="s">
        <v>62</v>
      </c>
      <c r="K8" t="s">
        <v>61</v>
      </c>
    </row>
    <row r="10" spans="1:11" x14ac:dyDescent="0.3">
      <c r="D10" s="18" t="s">
        <v>60</v>
      </c>
      <c r="E10" s="18"/>
      <c r="F10" s="18"/>
      <c r="G10" s="18"/>
      <c r="H10" s="18"/>
      <c r="J10" s="1" t="s">
        <v>59</v>
      </c>
    </row>
    <row r="11" spans="1:11" x14ac:dyDescent="0.3">
      <c r="J11" s="16" t="s">
        <v>58</v>
      </c>
    </row>
    <row r="12" spans="1:11" x14ac:dyDescent="0.3">
      <c r="A12" t="s">
        <v>57</v>
      </c>
      <c r="D12" s="7" t="s">
        <v>56</v>
      </c>
      <c r="F12" s="7" t="s">
        <v>55</v>
      </c>
      <c r="G12" s="17"/>
      <c r="H12" s="17"/>
      <c r="J12" s="16" t="s">
        <v>54</v>
      </c>
    </row>
    <row r="13" spans="1:11" x14ac:dyDescent="0.3">
      <c r="J13" t="s">
        <v>53</v>
      </c>
    </row>
    <row r="14" spans="1:11" x14ac:dyDescent="0.3">
      <c r="F14" s="15" t="s">
        <v>52</v>
      </c>
      <c r="H14" s="15" t="s">
        <v>51</v>
      </c>
    </row>
    <row r="16" spans="1:11" x14ac:dyDescent="0.3">
      <c r="D16" s="3" t="s">
        <v>50</v>
      </c>
      <c r="F16" s="3" t="s">
        <v>50</v>
      </c>
      <c r="H16" s="14" t="str">
        <f>i.Campo_Nivel_1</f>
        <v>MARCA</v>
      </c>
    </row>
    <row r="17" spans="4:11" x14ac:dyDescent="0.3">
      <c r="D17" s="4">
        <f>COUNTA(D20:D1000000)</f>
        <v>4</v>
      </c>
      <c r="F17" s="4">
        <f>COUNTA(F20:F1000000)</f>
        <v>2</v>
      </c>
      <c r="H17" s="13" t="str">
        <f>i.Nivel_1</f>
        <v>Baic</v>
      </c>
      <c r="J17" s="3"/>
    </row>
    <row r="18" spans="4:11" x14ac:dyDescent="0.3">
      <c r="J18" s="2"/>
    </row>
    <row r="19" spans="4:11" x14ac:dyDescent="0.3">
      <c r="D19" s="9" t="s">
        <v>0</v>
      </c>
      <c r="F19" s="9" t="s">
        <v>1</v>
      </c>
      <c r="H19" s="9" t="s">
        <v>0</v>
      </c>
      <c r="I19" s="9" t="s">
        <v>1</v>
      </c>
      <c r="J19" s="9" t="s">
        <v>2</v>
      </c>
      <c r="K19" s="9"/>
    </row>
    <row r="20" spans="4:11" x14ac:dyDescent="0.3">
      <c r="D20" s="2" t="s">
        <v>18</v>
      </c>
      <c r="F20" s="2" t="s">
        <v>42</v>
      </c>
      <c r="G20" s="2"/>
      <c r="H20" s="2" t="s">
        <v>18</v>
      </c>
      <c r="I20" s="2" t="s">
        <v>44</v>
      </c>
      <c r="J20" s="5" t="s">
        <v>19</v>
      </c>
    </row>
    <row r="21" spans="4:11" x14ac:dyDescent="0.3">
      <c r="D21" s="2" t="s">
        <v>8</v>
      </c>
      <c r="F21" s="2" t="s">
        <v>44</v>
      </c>
      <c r="G21" s="2"/>
      <c r="H21" s="2" t="s">
        <v>18</v>
      </c>
      <c r="I21" s="2" t="s">
        <v>42</v>
      </c>
      <c r="J21" s="2" t="s">
        <v>43</v>
      </c>
    </row>
    <row r="22" spans="4:11" x14ac:dyDescent="0.3">
      <c r="D22" s="2" t="s">
        <v>9</v>
      </c>
      <c r="F22" s="2"/>
      <c r="H22" s="2"/>
      <c r="I22" s="2"/>
      <c r="J22" s="2"/>
    </row>
    <row r="23" spans="4:11" x14ac:dyDescent="0.3">
      <c r="D23" s="2" t="s">
        <v>15</v>
      </c>
      <c r="F23" s="2"/>
      <c r="H23" s="2"/>
      <c r="I23" s="2"/>
      <c r="J23" s="2"/>
    </row>
  </sheetData>
  <sortState ref="F20:F21">
    <sortCondition ref="F20:F2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ltro2N.Actualizar_Nivel_1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iltro2N.Actualizar_Nivel_2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23</vt:i4>
      </vt:variant>
    </vt:vector>
  </HeadingPairs>
  <TitlesOfParts>
    <vt:vector size="27" baseType="lpstr">
      <vt:lpstr>Captura</vt:lpstr>
      <vt:lpstr>N</vt:lpstr>
      <vt:lpstr>S</vt:lpstr>
      <vt:lpstr>FILTRO2N</vt:lpstr>
      <vt:lpstr>FILTRO2N!_DESTINO_NIVEL_1_VBA</vt:lpstr>
      <vt:lpstr>FILTRO2N!_DESTINO_NIVEL_2_VBA</vt:lpstr>
      <vt:lpstr>CATALOGO_N</vt:lpstr>
      <vt:lpstr>CATALOGO_S</vt:lpstr>
      <vt:lpstr>FILTRO2N!Extract</vt:lpstr>
      <vt:lpstr>FILTRO2N!FILTRO_NIVEL_2</vt:lpstr>
      <vt:lpstr>FILTRO2N!i.Campo_Nivel_1</vt:lpstr>
      <vt:lpstr>FILTRO2N!i.Campo_Nivel_2</vt:lpstr>
      <vt:lpstr>FILTRO2N!i.Nivel_1</vt:lpstr>
      <vt:lpstr>FILTRO2N!i.Ubicación</vt:lpstr>
      <vt:lpstr>INPUT_CELLS</vt:lpstr>
      <vt:lpstr>Listado</vt:lpstr>
      <vt:lpstr>Listado.Campo_Auto</vt:lpstr>
      <vt:lpstr>Listado.Campo_Marca</vt:lpstr>
      <vt:lpstr>Listado.Catálogo</vt:lpstr>
      <vt:lpstr>Listado.Ubicación</vt:lpstr>
      <vt:lpstr>FILTRO2N!o.Conteo_Nivel_1</vt:lpstr>
      <vt:lpstr>FILTRO2N!o.Conteo_Nivel_2</vt:lpstr>
      <vt:lpstr>FILTRO2N!o.Elementos_Nivel_1</vt:lpstr>
      <vt:lpstr>FILTRO2N!o.Elementos_Nivel_2</vt:lpstr>
      <vt:lpstr>SELECCION_AUTO</vt:lpstr>
      <vt:lpstr>SELECCION_MARCA</vt:lpstr>
      <vt:lpstr>SELECCION_TIPO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2016-08-01T21:34:42Z</dcterms:modified>
</cp:coreProperties>
</file>