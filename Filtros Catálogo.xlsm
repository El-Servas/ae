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"/>
    </mc:Choice>
  </mc:AlternateContent>
  <bookViews>
    <workbookView xWindow="0" yWindow="0" windowWidth="23040" windowHeight="9096"/>
  </bookViews>
  <sheets>
    <sheet name="Catálogo" sheetId="1" r:id="rId1"/>
  </sheets>
  <definedNames>
    <definedName name="_xlnm._FilterDatabase" localSheetId="0" hidden="1">Catálogo!$A$14:$A$23</definedName>
    <definedName name="CATALOGO_N">Catálogo!$A$14:$C$23</definedName>
    <definedName name="CATALOGO_S">Catálogo!$E$14:$H$20</definedName>
    <definedName name="CONDICION_MARCA">Catálogo!$L$14:$L$15</definedName>
    <definedName name="CONTEO_AUTOS">Catálogo!$M$15</definedName>
    <definedName name="CONTEO_MARCAS">Catálogo!$J$15</definedName>
    <definedName name="DESTINO_AUTOS">Catálogo!$L$17</definedName>
    <definedName name="DESTINO_MARCAS">Catálogo!$J$17</definedName>
    <definedName name="_xlnm.Extract" localSheetId="0">Catálogo!$J$17</definedName>
    <definedName name="HEADER_MARCA">Catálogo!$A$14</definedName>
    <definedName name="INPUT_CELLS">Catálogo!$B$3,Catálogo!$B$5,Catálogo!$B$7</definedName>
    <definedName name="METACAT">Catálogo!$P$15:$S$16</definedName>
    <definedName name="Metacat.Campo_Auto">Catálogo!$R$13</definedName>
    <definedName name="Metacat.Campo_Marca">Catálogo!$Q$13</definedName>
    <definedName name="Metacat.Catálogo">Catálogo!$P$13</definedName>
    <definedName name="Metacat.Rango_Nombrado">Catálogo!$S$13</definedName>
    <definedName name="SELECCION_AUTO">Catálogo!$B$7</definedName>
    <definedName name="SELECCION_MARCA">Catálogo!$B$5</definedName>
    <definedName name="SELECCION_TIPO">Catálogo!$B$3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" i="1" l="1"/>
  <c r="J15" i="1"/>
  <c r="P13" i="1"/>
  <c r="S13" i="1" s="1"/>
  <c r="L15" i="1"/>
  <c r="R13" i="1" l="1"/>
  <c r="Q13" i="1"/>
  <c r="L14" i="1" s="1"/>
</calcChain>
</file>

<file path=xl/sharedStrings.xml><?xml version="1.0" encoding="utf-8"?>
<sst xmlns="http://schemas.openxmlformats.org/spreadsheetml/2006/main" count="77" uniqueCount="54">
  <si>
    <t>MARCA</t>
  </si>
  <si>
    <t>AUTO</t>
  </si>
  <si>
    <t>DATO</t>
  </si>
  <si>
    <t>a</t>
  </si>
  <si>
    <t>b</t>
  </si>
  <si>
    <t>c</t>
  </si>
  <si>
    <t>d</t>
  </si>
  <si>
    <t>Catálogo</t>
  </si>
  <si>
    <t>Conteo</t>
  </si>
  <si>
    <t>Honda</t>
  </si>
  <si>
    <t>Nissan</t>
  </si>
  <si>
    <t>Accord</t>
  </si>
  <si>
    <t>Civic</t>
  </si>
  <si>
    <t>Sentra</t>
  </si>
  <si>
    <t>Ventra</t>
  </si>
  <si>
    <t>Mamalón</t>
  </si>
  <si>
    <t>e</t>
  </si>
  <si>
    <t>Toyota</t>
  </si>
  <si>
    <t>TuHoyota</t>
  </si>
  <si>
    <t>g</t>
  </si>
  <si>
    <t>Baic</t>
  </si>
  <si>
    <t>Mameid</t>
  </si>
  <si>
    <t>--</t>
  </si>
  <si>
    <t>Fit</t>
  </si>
  <si>
    <t>x</t>
  </si>
  <si>
    <t>Zona de Búsquedas</t>
  </si>
  <si>
    <t>Catálogos</t>
  </si>
  <si>
    <t>Captura</t>
  </si>
  <si>
    <t>Marcas</t>
  </si>
  <si>
    <t>Autos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</si>
  <si>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</si>
  <si>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</si>
  <si>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</si>
  <si>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</si>
  <si>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</si>
  <si>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</si>
  <si>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</si>
  <si>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</si>
  <si>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N</t>
  </si>
  <si>
    <t>S</t>
  </si>
  <si>
    <t>Ford</t>
  </si>
  <si>
    <t>Exploter</t>
  </si>
  <si>
    <t>KaKa</t>
  </si>
  <si>
    <t>Chevrolet</t>
  </si>
  <si>
    <t>Chevy</t>
  </si>
  <si>
    <t>Spank</t>
  </si>
  <si>
    <t>Campo Marca</t>
  </si>
  <si>
    <t>Campo Auto</t>
  </si>
  <si>
    <t>Carro</t>
  </si>
  <si>
    <t>Brand</t>
  </si>
  <si>
    <t>Meta Catálogo</t>
  </si>
  <si>
    <t>Rango Nombrado</t>
  </si>
  <si>
    <t>CATALOGO_N</t>
  </si>
  <si>
    <t>CATALOGO_S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</si>
</sst>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1" xfId="0" applyBorder="1"/>
    <xf numFmtId="0" fontId="3" fillId="0" borderId="2" xfId="1"/>
    <xf numFmtId="0" fontId="1" fillId="0" borderId="1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4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</a:rPr>
                <a:t>Actualizar Autos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3"/>
  <sheetViews>
    <sheetView tabSelected="1" workbookViewId="0"/>
  </sheetViews>
  <sheetFormatPr defaultRowHeight="14.4" x14ac:dyDescent="0.3"/>
  <cols>
    <col min="16" max="18" width="13.44140625" customWidth="1"/>
    <col min="19" max="19" width="16" bestFit="1" customWidth="1"/>
  </cols>
  <sheetData>
    <row r="1" spans="1:19" ht="20.399999999999999" thickBot="1" x14ac:dyDescent="0.45">
      <c r="A1" s="7" t="s">
        <v>27</v>
      </c>
      <c r="B1" s="7"/>
      <c r="C1" s="7"/>
      <c r="D1" s="7"/>
      <c r="E1" s="7"/>
      <c r="F1" s="7"/>
      <c r="G1" s="7"/>
      <c r="H1" s="7"/>
      <c r="I1" s="7"/>
    </row>
    <row r="2" spans="1:19" ht="15" thickTop="1" x14ac:dyDescent="0.3">
      <c r="A2" s="1"/>
    </row>
    <row r="3" spans="1:19" x14ac:dyDescent="0.3">
      <c r="A3" s="3" t="s">
        <v>37</v>
      </c>
      <c r="B3" s="4" t="s">
        <v>38</v>
      </c>
    </row>
    <row r="5" spans="1:19" x14ac:dyDescent="0.3">
      <c r="A5" s="3" t="s">
        <v>0</v>
      </c>
      <c r="B5" s="4"/>
    </row>
    <row r="7" spans="1:19" x14ac:dyDescent="0.3">
      <c r="A7" s="3" t="s">
        <v>1</v>
      </c>
      <c r="B7" s="6"/>
    </row>
    <row r="10" spans="1:19" ht="20.399999999999999" thickBot="1" x14ac:dyDescent="0.45">
      <c r="A10" s="7" t="s">
        <v>26</v>
      </c>
      <c r="B10" s="7"/>
      <c r="C10" s="7"/>
      <c r="D10" s="7"/>
      <c r="E10" s="7"/>
      <c r="F10" s="7"/>
      <c r="G10" s="7"/>
      <c r="H10" s="7"/>
      <c r="J10" s="7" t="s">
        <v>25</v>
      </c>
      <c r="K10" s="7"/>
      <c r="L10" s="7"/>
      <c r="M10" s="7"/>
      <c r="N10" s="7"/>
      <c r="P10" s="7" t="s">
        <v>50</v>
      </c>
      <c r="Q10" s="7"/>
      <c r="R10" s="7"/>
      <c r="S10" s="7"/>
    </row>
    <row r="11" spans="1:19" ht="15" thickTop="1" x14ac:dyDescent="0.3"/>
    <row r="12" spans="1:19" ht="15" thickBot="1" x14ac:dyDescent="0.35">
      <c r="A12" s="14" t="s">
        <v>30</v>
      </c>
      <c r="B12" s="14"/>
      <c r="C12" s="14"/>
      <c r="E12" s="14" t="s">
        <v>36</v>
      </c>
      <c r="F12" s="14"/>
      <c r="G12" s="14"/>
      <c r="H12" s="14"/>
      <c r="J12" s="12" t="s">
        <v>28</v>
      </c>
      <c r="L12" s="12" t="s">
        <v>29</v>
      </c>
      <c r="M12" s="13"/>
      <c r="N12" s="13"/>
    </row>
    <row r="13" spans="1:19" x14ac:dyDescent="0.3">
      <c r="P13" s="16" t="str">
        <f>SELECCION_TIPO</f>
        <v>N</v>
      </c>
      <c r="Q13" s="12" t="str">
        <f>VLOOKUP(Metacat.Catálogo,METACAT,COLUMN()-COLUMN(Metacat.Catálogo)+1,0)</f>
        <v>MARCA</v>
      </c>
      <c r="R13" s="12" t="str">
        <f>VLOOKUP(Metacat.Catálogo,METACAT,COLUMN()-COLUMN(Metacat.Catálogo)+1,0)</f>
        <v>AUTO</v>
      </c>
      <c r="S13" s="12" t="str">
        <f>VLOOKUP(Metacat.Catálogo,METACAT,COLUMN()-COLUMN(Metacat.Catálogo)+1,0)</f>
        <v>CATALOGO_N</v>
      </c>
    </row>
    <row r="14" spans="1:19" x14ac:dyDescent="0.3">
      <c r="A14" s="15" t="s">
        <v>0</v>
      </c>
      <c r="B14" s="15" t="s">
        <v>1</v>
      </c>
      <c r="C14" s="15" t="s">
        <v>2</v>
      </c>
      <c r="E14" s="15" t="s">
        <v>49</v>
      </c>
      <c r="F14" s="15" t="s">
        <v>48</v>
      </c>
      <c r="G14" s="15" t="s">
        <v>31</v>
      </c>
      <c r="H14" s="15" t="s">
        <v>32</v>
      </c>
      <c r="J14" s="3" t="s">
        <v>8</v>
      </c>
      <c r="L14" s="11" t="str">
        <f>Metacat.Campo_Marca</f>
        <v>MARCA</v>
      </c>
      <c r="M14" s="3" t="s">
        <v>8</v>
      </c>
      <c r="P14" s="15" t="s">
        <v>7</v>
      </c>
      <c r="Q14" s="15" t="s">
        <v>46</v>
      </c>
      <c r="R14" s="15" t="s">
        <v>47</v>
      </c>
      <c r="S14" s="15" t="s">
        <v>51</v>
      </c>
    </row>
    <row r="15" spans="1:19" x14ac:dyDescent="0.3">
      <c r="A15" s="2" t="s">
        <v>9</v>
      </c>
      <c r="B15" s="2" t="s">
        <v>11</v>
      </c>
      <c r="C15" s="2" t="s">
        <v>3</v>
      </c>
      <c r="E15" s="2" t="s">
        <v>33</v>
      </c>
      <c r="F15" s="2" t="s">
        <v>34</v>
      </c>
      <c r="G15">
        <v>8.8106383065839573</v>
      </c>
      <c r="H15">
        <v>6.3011362111200047</v>
      </c>
      <c r="J15" s="4">
        <f>COUNTA(J18:J1048576)</f>
        <v>4</v>
      </c>
      <c r="L15" s="10">
        <f>SELECCION_MARCA</f>
        <v>0</v>
      </c>
      <c r="M15" s="9">
        <f>COUNTA(M18:M1048576)</f>
        <v>0</v>
      </c>
      <c r="N15" s="3"/>
      <c r="P15" s="2" t="s">
        <v>38</v>
      </c>
      <c r="Q15" s="2" t="s">
        <v>0</v>
      </c>
      <c r="R15" s="2" t="s">
        <v>1</v>
      </c>
      <c r="S15" s="2" t="s">
        <v>52</v>
      </c>
    </row>
    <row r="16" spans="1:19" x14ac:dyDescent="0.3">
      <c r="A16" s="2" t="s">
        <v>9</v>
      </c>
      <c r="B16" s="2" t="s">
        <v>12</v>
      </c>
      <c r="C16" s="2" t="s">
        <v>4</v>
      </c>
      <c r="E16" s="2" t="s">
        <v>33</v>
      </c>
      <c r="F16" s="2" t="s">
        <v>35</v>
      </c>
      <c r="G16">
        <v>7.2675707505870459</v>
      </c>
      <c r="H16">
        <v>4.3389142972765162</v>
      </c>
      <c r="N16" s="2"/>
      <c r="P16" s="2" t="s">
        <v>39</v>
      </c>
      <c r="Q16" s="2" t="s">
        <v>49</v>
      </c>
      <c r="R16" s="2" t="s">
        <v>48</v>
      </c>
      <c r="S16" s="2" t="s">
        <v>53</v>
      </c>
    </row>
    <row r="17" spans="1:14" x14ac:dyDescent="0.3">
      <c r="A17" s="2" t="s">
        <v>10</v>
      </c>
      <c r="B17" s="2" t="s">
        <v>13</v>
      </c>
      <c r="C17" s="2" t="s">
        <v>5</v>
      </c>
      <c r="E17" s="2" t="s">
        <v>40</v>
      </c>
      <c r="F17" s="2" t="s">
        <v>41</v>
      </c>
      <c r="G17">
        <v>1.1715791197126735</v>
      </c>
      <c r="H17">
        <v>4.9894536745463682</v>
      </c>
      <c r="J17" s="15" t="s">
        <v>0</v>
      </c>
      <c r="L17" s="8"/>
      <c r="M17" s="3"/>
      <c r="N17" s="3"/>
    </row>
    <row r="18" spans="1:14" x14ac:dyDescent="0.3">
      <c r="A18" s="2" t="s">
        <v>10</v>
      </c>
      <c r="B18" s="2" t="s">
        <v>14</v>
      </c>
      <c r="C18" s="2" t="s">
        <v>6</v>
      </c>
      <c r="E18" s="2" t="s">
        <v>40</v>
      </c>
      <c r="F18" s="2" t="s">
        <v>42</v>
      </c>
      <c r="G18">
        <v>4.0387509514536877</v>
      </c>
      <c r="H18">
        <v>3.3369747631604527</v>
      </c>
      <c r="I18" s="2"/>
      <c r="J18" s="2" t="s">
        <v>20</v>
      </c>
      <c r="L18" s="2"/>
      <c r="M18" s="2"/>
      <c r="N18" s="2"/>
    </row>
    <row r="19" spans="1:14" x14ac:dyDescent="0.3">
      <c r="A19" s="2" t="s">
        <v>9</v>
      </c>
      <c r="B19" t="s">
        <v>15</v>
      </c>
      <c r="C19" s="2" t="s">
        <v>16</v>
      </c>
      <c r="E19" s="2" t="s">
        <v>43</v>
      </c>
      <c r="F19" s="2" t="s">
        <v>44</v>
      </c>
      <c r="G19">
        <v>6.13038631666927</v>
      </c>
      <c r="H19">
        <v>6.1076115494800653</v>
      </c>
      <c r="I19" s="2"/>
      <c r="J19" s="2" t="s">
        <v>9</v>
      </c>
      <c r="L19" s="2"/>
      <c r="M19" s="2"/>
      <c r="N19" s="2"/>
    </row>
    <row r="20" spans="1:14" x14ac:dyDescent="0.3">
      <c r="A20" s="2" t="s">
        <v>17</v>
      </c>
      <c r="B20" s="2" t="s">
        <v>18</v>
      </c>
      <c r="C20" s="2" t="s">
        <v>19</v>
      </c>
      <c r="E20" s="2" t="s">
        <v>43</v>
      </c>
      <c r="F20" s="2" t="s">
        <v>45</v>
      </c>
      <c r="G20">
        <v>6.2170693280560743</v>
      </c>
      <c r="H20">
        <v>7.3009730504415167</v>
      </c>
      <c r="I20" s="2"/>
      <c r="J20" s="2" t="s">
        <v>10</v>
      </c>
      <c r="L20" s="2"/>
      <c r="M20" s="2"/>
      <c r="N20" s="2"/>
    </row>
    <row r="21" spans="1:14" x14ac:dyDescent="0.3">
      <c r="A21" s="2" t="s">
        <v>20</v>
      </c>
      <c r="B21" s="2" t="s">
        <v>21</v>
      </c>
      <c r="C21" s="5" t="s">
        <v>22</v>
      </c>
      <c r="E21" s="2"/>
      <c r="G21" s="2"/>
      <c r="I21" s="2"/>
      <c r="J21" s="2" t="s">
        <v>17</v>
      </c>
      <c r="L21" s="2"/>
      <c r="N21" s="2"/>
    </row>
    <row r="22" spans="1:14" x14ac:dyDescent="0.3">
      <c r="A22" s="2" t="s">
        <v>9</v>
      </c>
      <c r="B22" s="2" t="s">
        <v>23</v>
      </c>
      <c r="C22" s="2" t="s">
        <v>24</v>
      </c>
    </row>
    <row r="23" spans="1:14" x14ac:dyDescent="0.3">
      <c r="A23" s="2" t="s">
        <v>9</v>
      </c>
      <c r="B23" s="2" t="s">
        <v>12</v>
      </c>
      <c r="C23" s="2" t="s">
        <v>4</v>
      </c>
    </row>
  </sheetData>
  <sortState ref="J18:J21">
    <sortCondition ref="J18:J21"/>
  </sortState>
  <dataValidations count="3">
    <dataValidation type="list" allowBlank="1" showInputMessage="1" showErrorMessage="1" sqref="B5">
      <formula1>OFFSET(DESTINO_MARCAS,1,0,CONTEO_MARCAS,1)</formula1>
    </dataValidation>
    <dataValidation type="list" allowBlank="1" showInputMessage="1" showErrorMessage="1" sqref="B7">
      <formula1>OFFSET(DESTINO_AUTOS,1,1,CONTEO_AUTOS,1)</formula1>
    </dataValidation>
    <dataValidation type="list" allowBlank="1" showInputMessage="1" showErrorMessage="1" sqref="B3">
      <formula1>OFFSET(METACAT,0,0,,1)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ctualizar_Autos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18</vt:i4>
      </vt:variant>
    </vt:vector>
  </HeadingPairs>
  <TitlesOfParts>
    <vt:vector size="19" baseType="lpstr">
      <vt:lpstr>Catálogo</vt:lpstr>
      <vt:lpstr>CATALOGO_N</vt:lpstr>
      <vt:lpstr>CATALOGO_S</vt:lpstr>
      <vt:lpstr>CONDICION_MARCA</vt:lpstr>
      <vt:lpstr>CONTEO_AUTOS</vt:lpstr>
      <vt:lpstr>CONTEO_MARCAS</vt:lpstr>
      <vt:lpstr>DESTINO_AUTOS</vt:lpstr>
      <vt:lpstr>DESTINO_MARCAS</vt:lpstr>
      <vt:lpstr>Catálogo!Extract</vt:lpstr>
      <vt:lpstr>HEADER_MARCA</vt:lpstr>
      <vt:lpstr>INPUT_CELLS</vt:lpstr>
      <vt:lpstr>METACAT</vt:lpstr>
      <vt:lpstr>Metacat.Campo_Auto</vt:lpstr>
      <vt:lpstr>Metacat.Campo_Marca</vt:lpstr>
      <vt:lpstr>Metacat.Catálogo</vt:lpstr>
      <vt:lpstr>Metacat.Rango_Nombrado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2016-07-30T00:38:43Z</dcterms:modified>
</cp:coreProperties>
</file>