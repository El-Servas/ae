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ptura" sheetId="1" r:id="rId1"/>
    <sheet name="Listados" sheetId="2" r:id="rId2"/>
    <sheet name="N" sheetId="3" r:id="rId3"/>
    <sheet name="S" sheetId="4" r:id="rId4"/>
  </sheets>
  <definedNames>
    <definedName name="_xlnm._FilterDatabase" localSheetId="0" hidden="1">S!$A$3:$D$9</definedName>
    <definedName name="_xlnm._FilterDatabase" localSheetId="1" hidden="1">N!$A$3:$C$13</definedName>
    <definedName name="_xlnm._FilterDatabase" localSheetId="2" hidden="1">N!$A$3:$C$13</definedName>
    <definedName name="_xlnm._FilterDatabase" localSheetId="3" hidden="1">S!$A$3:$D$9</definedName>
    <definedName name="CATALOGO_N">N!$A$3:$C$13</definedName>
    <definedName name="CATALOGO_S">S!$A$3:$D$9</definedName>
    <definedName name="CONDICION_MARCA">Listados!$C$13:$C$14</definedName>
    <definedName name="CONTEO_AUTOS">Listados!$D$14</definedName>
    <definedName name="CONTEO_MARCAS">Listados!$A$14</definedName>
    <definedName name="_xlnm.Criteria" localSheetId="1">Listados!$C$13:$C$14</definedName>
    <definedName name="DESTINO_AUTOS">Listados!$C$16</definedName>
    <definedName name="DESTINO_MARCAS">Listados!$A$16</definedName>
    <definedName name="_xlnm.Extract" localSheetId="1">Listados!$C$16:$E$16</definedName>
    <definedName name="INPUT_CELLS">Captura!$B$3,Captura!$B$5,Captura!$B$7</definedName>
    <definedName name="METACAT">Listados!$A$5:$D$6</definedName>
    <definedName name="Metacat.Campo_Auto">Listados!$D$3</definedName>
    <definedName name="Metacat.Campo_Marca">Listados!$C$3</definedName>
    <definedName name="Metacat.Catálogo">Listados!$A$3</definedName>
    <definedName name="Metacat.Ubicación">Listados!$B$3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2" l="1"/>
  <c r="A14" i="2"/>
  <c r="C14" i="2" l="1"/>
  <c r="A3" i="2"/>
  <c r="D3" i="2" s="1"/>
  <c r="C3" i="2" l="1"/>
  <c r="C13" i="2" s="1"/>
  <c r="B3" i="2"/>
</calcChain>
</file>

<file path=xl/sharedStrings.xml><?xml version="1.0" encoding="utf-8"?>
<sst xmlns="http://schemas.openxmlformats.org/spreadsheetml/2006/main" count="93" uniqueCount="58">
  <si>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</si>
  <si>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</si>
  <si>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</si>
  <si>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</si>
  <si>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</si>
  <si>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</si>
  <si>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</si>
  <si>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</si>
  <si>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</si>
  <si>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</si>
  <si>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</si>
  <si>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</si>
  <si>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</si>
  <si>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</si>
  <si>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</si>
  <si>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</si>
  <si>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</si>
  <si>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</si>
  <si>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</si>
  <si>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</si>
  <si>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</si>
  <si>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</si>
  <si>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</si>
  <si>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</si>
  <si>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</si>
  <si>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</si>
  <si>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</si>
  <si>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</si>
  <si>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</si>
  <si>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</si>
  <si>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</si>
  <si>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</si>
  <si>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</si>
  <si>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</si>
  <si>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</si>
  <si>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</si>
  <si>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</si>
  <si>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</si>
  <si>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</si>
  <si>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</si>
  <si>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</si>
  <si>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</si>
  <si>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</si>
  <si>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</si>
  <si>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</si>
  <si>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</si>
  <si>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</si>
  <si>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</si>
  <si>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</si>
  <si>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</si>
  <si>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</si>
  <si>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Listados</t>
  </si>
  <si>
    <t>Zona de Resultados</t>
  </si>
  <si>
    <t>Consideraciones</t>
  </si>
  <si>
    <t xml:space="preserve">El Combo de Autos siempre apunta a la segunda columna de la zona de resultados de auto. </t>
  </si>
  <si>
    <t>N!A3:C13</t>
  </si>
  <si>
    <t>Ubicación</t>
  </si>
  <si>
    <t>La [Metacat.Ubicación] debe de poder ser accesible usando "notación global"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</si>
</sst>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2" ht="20.399999999999999" thickBot="1" x14ac:dyDescent="0.45">
      <c r="A1" s="6" t="s">
        <v>23</v>
      </c>
      <c r="B1" s="6"/>
    </row>
    <row r="2" spans="1:2" ht="15" thickTop="1" x14ac:dyDescent="0.3">
      <c r="A2" s="1"/>
    </row>
    <row r="3" spans="1:2" x14ac:dyDescent="0.3">
      <c r="A3" s="3" t="s">
        <v>33</v>
      </c>
      <c r="B3" s="4" t="s">
        <v>34</v>
      </c>
    </row>
    <row r="5" spans="1:2" x14ac:dyDescent="0.3">
      <c r="A5" s="3" t="s">
        <v>0</v>
      </c>
      <c r="B5" s="4" t="s">
        <v>10</v>
      </c>
    </row>
    <row r="7" spans="1:2" x14ac:dyDescent="0.3">
      <c r="A7" s="3" t="s">
        <v>1</v>
      </c>
      <c r="B7" s="4" t="s">
        <v>13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OFFSET(DESTINO_MARCAS,1,0,CONTEO_MARCAS,1)</formula1>
    </dataValidation>
    <dataValidation type="list" showInputMessage="1" showErrorMessage="1" sqref="B7">
      <formula1>OFFSET(DESTINO_AUTOS,1,1,CONTEO_AUTOS,1)</formula1>
    </dataValidation>
    <dataValidation type="list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workbookViewId="0">
      <selection activeCell="C17" sqref="C17:E18"/>
    </sheetView>
  </sheetViews>
  <sheetFormatPr defaultRowHeight="14.4" x14ac:dyDescent="0.3"/>
  <cols>
    <col min="1" max="1" width="8.44140625" customWidth="1"/>
    <col min="2" max="2" width="16" bestFit="1" customWidth="1"/>
    <col min="3" max="3" width="12.77734375" bestFit="1" customWidth="1"/>
    <col min="4" max="4" width="11.5546875" bestFit="1" customWidth="1"/>
  </cols>
  <sheetData>
    <row r="1" spans="1:7" ht="20.399999999999999" thickBot="1" x14ac:dyDescent="0.45">
      <c r="A1" s="6" t="s">
        <v>51</v>
      </c>
      <c r="B1" s="6"/>
      <c r="C1" s="6"/>
      <c r="D1" s="6"/>
      <c r="E1" s="6"/>
      <c r="G1" t="s">
        <v>53</v>
      </c>
    </row>
    <row r="2" spans="1:7" ht="15" thickTop="1" x14ac:dyDescent="0.3"/>
    <row r="3" spans="1:7" x14ac:dyDescent="0.3">
      <c r="A3" s="13" t="str">
        <f>SELECCION_TIPO</f>
        <v>N</v>
      </c>
      <c r="B3" s="9" t="str">
        <f>VLOOKUP(Metacat.Catálogo,METACAT,COLUMN()-COLUMN(Metacat.Catálogo)+1,0)</f>
        <v>N!A3:C13</v>
      </c>
      <c r="C3" s="9" t="str">
        <f>VLOOKUP(Metacat.Catálogo,METACAT,COLUMN()-COLUMN(Metacat.Catálogo)+1,0)</f>
        <v>MARCA</v>
      </c>
      <c r="D3" s="9" t="str">
        <f>VLOOKUP(Metacat.Catálogo,METACAT,COLUMN()-COLUMN(Metacat.Catálogo)+1,0)</f>
        <v>AUTO</v>
      </c>
      <c r="G3" t="s">
        <v>57</v>
      </c>
    </row>
    <row r="4" spans="1:7" x14ac:dyDescent="0.3">
      <c r="A4" s="12" t="s">
        <v>7</v>
      </c>
      <c r="B4" s="12" t="s">
        <v>56</v>
      </c>
      <c r="C4" s="12" t="s">
        <v>41</v>
      </c>
      <c r="D4" s="12" t="s">
        <v>42</v>
      </c>
      <c r="G4" t="s">
        <v>54</v>
      </c>
    </row>
    <row r="5" spans="1:7" x14ac:dyDescent="0.3">
      <c r="A5" s="2" t="s">
        <v>34</v>
      </c>
      <c r="B5" s="2" t="s">
        <v>55</v>
      </c>
      <c r="C5" s="2" t="s">
        <v>0</v>
      </c>
      <c r="D5" s="2" t="s">
        <v>1</v>
      </c>
    </row>
    <row r="6" spans="1:7" x14ac:dyDescent="0.3">
      <c r="A6" s="2" t="s">
        <v>35</v>
      </c>
      <c r="B6" s="2" t="s">
        <v>45</v>
      </c>
      <c r="C6" s="2" t="s">
        <v>44</v>
      </c>
      <c r="D6" s="2" t="s">
        <v>43</v>
      </c>
    </row>
    <row r="9" spans="1:7" ht="20.399999999999999" thickBot="1" x14ac:dyDescent="0.45">
      <c r="A9" s="6" t="s">
        <v>52</v>
      </c>
      <c r="B9" s="6"/>
      <c r="C9" s="6"/>
      <c r="D9" s="6"/>
      <c r="E9" s="6"/>
    </row>
    <row r="10" spans="1:7" ht="15" thickTop="1" x14ac:dyDescent="0.3"/>
    <row r="11" spans="1:7" x14ac:dyDescent="0.3">
      <c r="A11" s="9" t="s">
        <v>24</v>
      </c>
      <c r="C11" s="9" t="s">
        <v>25</v>
      </c>
      <c r="D11" s="10"/>
      <c r="E11" s="10"/>
    </row>
    <row r="13" spans="1:7" x14ac:dyDescent="0.3">
      <c r="A13" s="3" t="s">
        <v>8</v>
      </c>
      <c r="C13" s="8" t="str">
        <f>Metacat.Campo_Marca</f>
        <v>MARCA</v>
      </c>
      <c r="D13" s="3" t="s">
        <v>8</v>
      </c>
    </row>
    <row r="14" spans="1:7" x14ac:dyDescent="0.3">
      <c r="A14" s="4">
        <f>COUNTA(A17:A1048576)</f>
        <v>4</v>
      </c>
      <c r="C14" s="7" t="str">
        <f>SELECCION_MARCA</f>
        <v>Nissan</v>
      </c>
      <c r="D14" s="4">
        <f>COUNTA(D17:D1048576)</f>
        <v>2</v>
      </c>
      <c r="E14" s="3"/>
    </row>
    <row r="15" spans="1:7" x14ac:dyDescent="0.3">
      <c r="E15" s="2"/>
    </row>
    <row r="16" spans="1:7" x14ac:dyDescent="0.3">
      <c r="A16" s="12" t="s">
        <v>0</v>
      </c>
      <c r="C16" s="12" t="s">
        <v>0</v>
      </c>
      <c r="D16" s="12" t="s">
        <v>1</v>
      </c>
      <c r="E16" s="12" t="s">
        <v>2</v>
      </c>
      <c r="F16" s="12"/>
    </row>
    <row r="17" spans="1:7" x14ac:dyDescent="0.3">
      <c r="A17" s="2" t="s">
        <v>19</v>
      </c>
      <c r="C17" s="2" t="s">
        <v>10</v>
      </c>
      <c r="D17" s="2" t="s">
        <v>13</v>
      </c>
      <c r="E17" s="2" t="s">
        <v>5</v>
      </c>
    </row>
    <row r="18" spans="1:7" x14ac:dyDescent="0.3">
      <c r="A18" s="2" t="s">
        <v>9</v>
      </c>
      <c r="C18" s="2" t="s">
        <v>10</v>
      </c>
      <c r="D18" s="2" t="s">
        <v>14</v>
      </c>
      <c r="E18" s="2" t="s">
        <v>6</v>
      </c>
    </row>
    <row r="19" spans="1:7" x14ac:dyDescent="0.3">
      <c r="A19" s="2" t="s">
        <v>10</v>
      </c>
      <c r="C19" s="2"/>
      <c r="D19" s="2"/>
      <c r="E19" s="2"/>
      <c r="G19" s="2"/>
    </row>
    <row r="20" spans="1:7" x14ac:dyDescent="0.3">
      <c r="A20" s="2" t="s">
        <v>16</v>
      </c>
      <c r="C20" s="2"/>
      <c r="D20" s="2"/>
      <c r="E20" s="2"/>
    </row>
  </sheetData>
  <sortState ref="C17:E18">
    <sortCondition ref="D17:D1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26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11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50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49</v>
      </c>
      <c r="C10" s="5" t="s">
        <v>20</v>
      </c>
    </row>
    <row r="11" spans="1:3" x14ac:dyDescent="0.3">
      <c r="A11" s="2" t="s">
        <v>9</v>
      </c>
      <c r="B11" s="2" t="s">
        <v>21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47</v>
      </c>
      <c r="C13" s="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32</v>
      </c>
      <c r="B1" s="11"/>
      <c r="C1" s="11"/>
      <c r="D1" s="11"/>
    </row>
    <row r="3" spans="1:4" x14ac:dyDescent="0.3">
      <c r="A3" s="12" t="s">
        <v>44</v>
      </c>
      <c r="B3" s="12" t="s">
        <v>43</v>
      </c>
      <c r="C3" s="12" t="s">
        <v>27</v>
      </c>
      <c r="D3" s="12" t="s">
        <v>28</v>
      </c>
    </row>
    <row r="4" spans="1:4" x14ac:dyDescent="0.3">
      <c r="A4" s="2" t="s">
        <v>29</v>
      </c>
      <c r="B4" s="2" t="s">
        <v>31</v>
      </c>
      <c r="C4">
        <v>8.8106383065839573</v>
      </c>
      <c r="D4">
        <v>6.3011362111200047</v>
      </c>
    </row>
    <row r="5" spans="1:4" x14ac:dyDescent="0.3">
      <c r="A5" s="2" t="s">
        <v>29</v>
      </c>
      <c r="B5" s="2" t="s">
        <v>30</v>
      </c>
      <c r="C5">
        <v>7.2675707505870459</v>
      </c>
      <c r="D5">
        <v>4.3389142972765162</v>
      </c>
    </row>
    <row r="6" spans="1:4" x14ac:dyDescent="0.3">
      <c r="A6" s="2" t="s">
        <v>36</v>
      </c>
      <c r="B6" s="2" t="s">
        <v>46</v>
      </c>
      <c r="C6">
        <v>1.1715791197126735</v>
      </c>
      <c r="D6">
        <v>4.9894536745463682</v>
      </c>
    </row>
    <row r="7" spans="1:4" x14ac:dyDescent="0.3">
      <c r="A7" s="2" t="s">
        <v>36</v>
      </c>
      <c r="B7" s="2" t="s">
        <v>37</v>
      </c>
      <c r="C7">
        <v>4.0387509514536877</v>
      </c>
      <c r="D7">
        <v>3.3369747631604527</v>
      </c>
    </row>
    <row r="8" spans="1:4" x14ac:dyDescent="0.3">
      <c r="A8" s="2" t="s">
        <v>38</v>
      </c>
      <c r="B8" s="2" t="s">
        <v>40</v>
      </c>
      <c r="C8">
        <v>6.13038631666927</v>
      </c>
      <c r="D8">
        <v>6.1076115494800653</v>
      </c>
    </row>
    <row r="9" spans="1:4" x14ac:dyDescent="0.3">
      <c r="A9" s="2" t="s">
        <v>38</v>
      </c>
      <c r="B9" s="2" t="s">
        <v>39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Captura</vt:lpstr>
      <vt:lpstr>Listados</vt:lpstr>
      <vt:lpstr>N</vt:lpstr>
      <vt:lpstr>S</vt:lpstr>
      <vt:lpstr>CATALOGO_N</vt:lpstr>
      <vt:lpstr>CATALOGO_S</vt:lpstr>
      <vt:lpstr>CONDICION_MARCA</vt:lpstr>
      <vt:lpstr>CONTEO_AUTOS</vt:lpstr>
      <vt:lpstr>CONTEO_MARCAS</vt:lpstr>
      <vt:lpstr>Listados!Criteria</vt:lpstr>
      <vt:lpstr>DESTINO_AUTOS</vt:lpstr>
      <vt:lpstr>DESTINO_MARCAS</vt:lpstr>
      <vt:lpstr>Listados!Extract</vt:lpstr>
      <vt:lpstr>INPUT_CELLS</vt:lpstr>
      <vt:lpstr>METACAT</vt:lpstr>
      <vt:lpstr>Metacat.Campo_Auto</vt:lpstr>
      <vt:lpstr>Metacat.Campo_Marca</vt:lpstr>
      <vt:lpstr>Metacat.Catálogo</vt:lpstr>
      <vt:lpstr>Metacat.Ubicación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2016-07-30T17:14:38Z</dcterms:modified>
</cp:coreProperties>
</file>